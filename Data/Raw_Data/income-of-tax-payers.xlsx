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58034739e2b547/Desktop/University/Year 3/Final Year Project/Different Variables/"/>
    </mc:Choice>
  </mc:AlternateContent>
  <xr:revisionPtr revIDLastSave="2" documentId="13_ncr:1_{C9E376D3-BC4A-4392-998B-556213D7828B}" xr6:coauthVersionLast="47" xr6:coauthVersionMax="47" xr10:uidLastSave="{B30A9F5C-04CC-45AE-8BFE-3AAE247995CF}"/>
  <bookViews>
    <workbookView xWindow="-120" yWindow="-120" windowWidth="19440" windowHeight="10320" activeTab="1" xr2:uid="{00000000-000D-0000-FFFF-FFFF00000000}"/>
  </bookViews>
  <sheets>
    <sheet name="Metadata" sheetId="4" r:id="rId1"/>
    <sheet name="Average Median Income" sheetId="3" r:id="rId2"/>
  </sheets>
  <definedNames>
    <definedName name="\C">#REF!</definedName>
    <definedName name="\L">#REF!</definedName>
    <definedName name="_xlnm._FilterDatabase" localSheetId="1" hidden="1">'Average Median Income'!$C$2:$C$35</definedName>
    <definedName name="_Key1" hidden="1">#REF!</definedName>
    <definedName name="_Order1" hidden="1">255</definedName>
    <definedName name="_Sort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3" l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</calcChain>
</file>

<file path=xl/sharedStrings.xml><?xml version="1.0" encoding="utf-8"?>
<sst xmlns="http://schemas.openxmlformats.org/spreadsheetml/2006/main" count="166" uniqueCount="122">
  <si>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</si>
  <si>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</si>
  <si>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</si>
  <si>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</si>
  <si>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</si>
  <si>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</si>
  <si>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</si>
  <si>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</si>
  <si>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</si>
  <si>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</si>
  <si>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</si>
  <si>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</si>
  <si>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</si>
  <si>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</si>
  <si>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</si>
  <si>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</si>
  <si>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</si>
  <si>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</si>
  <si>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</si>
  <si>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Lambeth</t>
  </si>
  <si>
    <t>Lewisham</t>
  </si>
  <si>
    <t>Merton</t>
  </si>
  <si>
    <t>Newham</t>
  </si>
  <si>
    <t>Redbridge</t>
  </si>
  <si>
    <t>Southwark</t>
  </si>
  <si>
    <t>Sutton</t>
  </si>
  <si>
    <t>Tower Hamlets</t>
  </si>
  <si>
    <t>Waltham Forest</t>
  </si>
  <si>
    <t>Wandsworth</t>
  </si>
  <si>
    <t>Westminster</t>
  </si>
  <si>
    <t>Code</t>
  </si>
  <si>
    <t>Area</t>
  </si>
  <si>
    <t>Median £</t>
  </si>
  <si>
    <t>Name</t>
  </si>
  <si>
    <t>ShortName</t>
  </si>
  <si>
    <t>Theme</t>
  </si>
  <si>
    <t>Sub-theme</t>
  </si>
  <si>
    <t>Earnings</t>
  </si>
  <si>
    <t>Title</t>
  </si>
  <si>
    <t>Description</t>
  </si>
  <si>
    <t>Subject</t>
  </si>
  <si>
    <t>Subject.keyword</t>
  </si>
  <si>
    <t>Publisher</t>
  </si>
  <si>
    <t>Date.available</t>
  </si>
  <si>
    <t>Creator</t>
  </si>
  <si>
    <t>Date.created</t>
  </si>
  <si>
    <t>Coverage.spatial</t>
  </si>
  <si>
    <t>Coverage.temporal</t>
  </si>
  <si>
    <t>Annual</t>
  </si>
  <si>
    <t>Type</t>
  </si>
  <si>
    <t>Survey</t>
  </si>
  <si>
    <t>Language</t>
  </si>
  <si>
    <t>English</t>
  </si>
  <si>
    <t>Rights</t>
  </si>
  <si>
    <t>Crown Copyright</t>
  </si>
  <si>
    <t>More info</t>
  </si>
  <si>
    <t>Download from</t>
  </si>
  <si>
    <t>Warnings/Notes</t>
  </si>
  <si>
    <t>Next release</t>
  </si>
  <si>
    <t>income, earnings, pay, salary, tax</t>
  </si>
  <si>
    <t>x Data not available</t>
  </si>
  <si>
    <t>Estimates for sub-UK geographical areas (eg by country, Government Office Region, county etc) should be treated with particular caution</t>
  </si>
  <si>
    <t>Local Authorities</t>
  </si>
  <si>
    <t>Employment and Skills</t>
  </si>
  <si>
    <t>Income and earnings</t>
  </si>
  <si>
    <t>Measure</t>
  </si>
  <si>
    <t>Survey of Personal Incomes, HMRC</t>
  </si>
  <si>
    <t>Average Income of Tax Payers</t>
  </si>
  <si>
    <t>HMRC Survey of Personal Incomes</t>
  </si>
  <si>
    <t>SPI</t>
  </si>
  <si>
    <t>HM Revenue &amp; Customs</t>
  </si>
  <si>
    <t>Numbers and GBP</t>
  </si>
  <si>
    <t>No data available for the year 2008-09</t>
  </si>
  <si>
    <t>Kingston-upon-Thames</t>
  </si>
  <si>
    <t>Richmond-upon-Thames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</si>
  <si>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</si>
  <si>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</si>
  <si>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</si>
  <si>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</si>
  <si>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</si>
  <si>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</si>
  <si>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</si>
  <si>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</si>
  <si>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</si>
  <si>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</si>
  <si>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</si>
  <si>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</si>
  <si>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</si>
  <si>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</si>
  <si>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</si>
  <si>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</si>
  <si>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</si>
  <si>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</si>
  <si>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</si>
  <si>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</si>
  <si>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</si>
  <si>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</si>
  <si>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</si>
  <si>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</si>
  <si>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</si>
  <si>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</si>
  <si>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</si>
  <si>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</si>
  <si>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</si>
  <si>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</si>
  <si>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</si>
  <si>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</si>
  <si>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https://www.gov.uk/government/statistics/income-and-tax-by-county-and-region-2010-to-2011</t>
  </si>
  <si>
    <t>https://www.gov.uk/government/collections/personal-income-by-tax-year</t>
  </si>
  <si>
    <t>https://www.gov.uk/government/statistics/income-and-tax-by-borough-and-district-or-unitary-authority-confidence-intervals</t>
  </si>
  <si>
    <t>Local Authority Data</t>
  </si>
  <si>
    <t>https://www.gov.uk/government/statistics/income-and-tax-by-borough-and-district-or-unitary-authority-2010-to-2011</t>
  </si>
  <si>
    <t>1999-00 to 2021-22</t>
  </si>
  <si>
    <t>Mar 24</t>
  </si>
  <si>
    <t>Feb 25</t>
  </si>
  <si>
    <t xml:space="preserve">Mean and Median Income (Personal incomes by tax year) </t>
  </si>
  <si>
    <t>Partition</t>
  </si>
  <si>
    <t>East</t>
  </si>
  <si>
    <t>North</t>
  </si>
  <si>
    <t>West</t>
  </si>
  <si>
    <t>South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</si>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</sst>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);\(#,##0\)"/>
  </numFmts>
  <fonts count="11" x14ac:knownFonts="1">
    <font>
      <sz val="8"/>
      <name val="Helv"/>
    </font>
    <font>
      <sz val="10"/>
      <name val="Arial"/>
      <family val="2"/>
    </font>
    <font>
      <sz val="8"/>
      <name val="Helv"/>
    </font>
    <font>
      <u/>
      <sz val="8"/>
      <color indexed="12"/>
      <name val="Helv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>
      <alignment vertical="top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9" fillId="0" borderId="0"/>
    <xf numFmtId="0" fontId="8" fillId="0" borderId="0"/>
    <xf numFmtId="164" fontId="2" fillId="0" borderId="0"/>
    <xf numFmtId="0" fontId="1" fillId="0" borderId="0"/>
    <xf numFmtId="0" fontId="10" fillId="0" borderId="0" applyNumberFormat="0" applyFont="0" applyBorder="0" applyProtection="0"/>
  </cellStyleXfs>
  <cellXfs count="27">
    <xf numFmtId="164" fontId="0" fillId="0" borderId="0" xfId="0" applyNumberFormat="1" applyAlignment="1"/>
    <xf numFmtId="164" fontId="4" fillId="0" borderId="0" xfId="0" applyNumberFormat="1" applyFont="1" applyAlignment="1">
      <alignment horizontal="left"/>
    </xf>
    <xf numFmtId="164" fontId="4" fillId="0" borderId="0" xfId="0" applyNumberFormat="1" applyFont="1" applyAlignment="1"/>
    <xf numFmtId="164" fontId="5" fillId="0" borderId="1" xfId="0" applyNumberFormat="1" applyFont="1" applyBorder="1" applyAlignment="1"/>
    <xf numFmtId="164" fontId="5" fillId="0" borderId="1" xfId="0" applyNumberFormat="1" applyFont="1" applyBorder="1" applyAlignment="1">
      <alignment horizontal="right" wrapText="1"/>
    </xf>
    <xf numFmtId="0" fontId="4" fillId="0" borderId="0" xfId="12" applyFont="1" applyAlignment="1">
      <alignment horizontal="left" vertical="center"/>
    </xf>
    <xf numFmtId="3" fontId="4" fillId="0" borderId="0" xfId="1" applyNumberFormat="1" applyFont="1" applyFill="1"/>
    <xf numFmtId="3" fontId="4" fillId="0" borderId="0" xfId="0" applyNumberFormat="1" applyFont="1" applyAlignment="1">
      <alignment horizontal="right"/>
    </xf>
    <xf numFmtId="3" fontId="4" fillId="0" borderId="0" xfId="0" applyNumberFormat="1" applyFont="1" applyAlignment="1"/>
    <xf numFmtId="3" fontId="4" fillId="0" borderId="0" xfId="11" applyNumberFormat="1" applyFont="1"/>
    <xf numFmtId="3" fontId="4" fillId="0" borderId="0" xfId="0" applyNumberFormat="1" applyFont="1">
      <alignment vertical="top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left"/>
    </xf>
    <xf numFmtId="164" fontId="6" fillId="0" borderId="0" xfId="4" applyNumberFormat="1" applyFont="1" applyAlignment="1" applyProtection="1"/>
    <xf numFmtId="164" fontId="1" fillId="0" borderId="0" xfId="0" quotePrefix="1" applyNumberFormat="1" applyFont="1" applyAlignment="1">
      <alignment horizontal="left"/>
    </xf>
    <xf numFmtId="17" fontId="1" fillId="0" borderId="0" xfId="0" quotePrefix="1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8" applyFont="1"/>
    <xf numFmtId="164" fontId="1" fillId="0" borderId="2" xfId="0" applyNumberFormat="1" applyFont="1" applyBorder="1" applyAlignment="1"/>
    <xf numFmtId="164" fontId="4" fillId="0" borderId="3" xfId="0" applyNumberFormat="1" applyFont="1" applyBorder="1" applyAlignment="1"/>
    <xf numFmtId="164" fontId="4" fillId="0" borderId="4" xfId="0" applyNumberFormat="1" applyFont="1" applyBorder="1" applyAlignment="1"/>
    <xf numFmtId="164" fontId="1" fillId="0" borderId="5" xfId="0" applyNumberFormat="1" applyFont="1" applyBorder="1" applyAlignment="1"/>
    <xf numFmtId="164" fontId="4" fillId="0" borderId="6" xfId="0" applyNumberFormat="1" applyFont="1" applyBorder="1" applyAlignment="1"/>
    <xf numFmtId="164" fontId="1" fillId="0" borderId="7" xfId="0" applyNumberFormat="1" applyFont="1" applyBorder="1" applyAlignment="1"/>
    <xf numFmtId="164" fontId="4" fillId="0" borderId="8" xfId="0" applyNumberFormat="1" applyFont="1" applyBorder="1" applyAlignment="1"/>
    <xf numFmtId="164" fontId="4" fillId="0" borderId="9" xfId="0" applyNumberFormat="1" applyFont="1" applyBorder="1" applyAlignment="1"/>
  </cellXfs>
  <cellStyles count="14">
    <cellStyle name="Comma" xfId="1" builtinId="3"/>
    <cellStyle name="Comma 2" xfId="2" xr:uid="{00000000-0005-0000-0000-000001000000}"/>
    <cellStyle name="Comma 2 2" xfId="3" xr:uid="{00000000-0005-0000-0000-000002000000}"/>
    <cellStyle name="Hyperlink" xfId="4" builtinId="8"/>
    <cellStyle name="Hyperlink 2" xfId="5" xr:uid="{00000000-0005-0000-0000-000004000000}"/>
    <cellStyle name="Hyperlink 3" xfId="6" xr:uid="{00000000-0005-0000-0000-000005000000}"/>
    <cellStyle name="Normal" xfId="0" builtinId="0"/>
    <cellStyle name="Normal 2" xfId="7" xr:uid="{00000000-0005-0000-0000-000007000000}"/>
    <cellStyle name="Normal 2 2" xfId="8" xr:uid="{00000000-0005-0000-0000-000008000000}"/>
    <cellStyle name="Normal 3" xfId="9" xr:uid="{00000000-0005-0000-0000-000009000000}"/>
    <cellStyle name="Normal 4" xfId="10" xr:uid="{00000000-0005-0000-0000-00000A000000}"/>
    <cellStyle name="Normal 5" xfId="13" xr:uid="{527A856F-A978-4F0A-91B3-1487C1B8580A}"/>
    <cellStyle name="Normal_01IRS0314" xfId="11" xr:uid="{00000000-0005-0000-0000-00000B000000}"/>
    <cellStyle name="Row_Headings" xfId="12" xr:uid="{00000000-0005-0000-0000-00000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uk/government/statistics/income-and-tax-by-county-and-region-2010-to-2011" TargetMode="External"/><Relationship Id="rId2" Type="http://schemas.openxmlformats.org/officeDocument/2006/relationships/hyperlink" Target="https://www.gov.uk/government/statistics/income-and-tax-by-borough-and-district-or-unitary-authority-confidence-intervals" TargetMode="External"/><Relationship Id="rId1" Type="http://schemas.openxmlformats.org/officeDocument/2006/relationships/hyperlink" Target="https://www.gov.uk/government/collections/personal-income-by-tax-year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opLeftCell="A5" workbookViewId="0"/>
  </sheetViews>
  <sheetFormatPr defaultRowHeight="10.5" x14ac:dyDescent="0.15"/>
  <cols>
    <col min="1" max="1" width="19.33203125" bestFit="1" customWidth="1"/>
    <col min="2" max="2" width="11.33203125" customWidth="1"/>
  </cols>
  <sheetData>
    <row r="1" spans="1:2" ht="12.75" x14ac:dyDescent="0.2">
      <c r="A1" s="2" t="s">
        <v>33</v>
      </c>
      <c r="B1" s="1" t="s">
        <v>68</v>
      </c>
    </row>
    <row r="2" spans="1:2" ht="12.75" x14ac:dyDescent="0.2">
      <c r="A2" s="2" t="s">
        <v>34</v>
      </c>
      <c r="B2" s="1" t="s">
        <v>69</v>
      </c>
    </row>
    <row r="3" spans="1:2" ht="12.75" x14ac:dyDescent="0.2">
      <c r="A3" s="2"/>
      <c r="B3" s="1"/>
    </row>
    <row r="4" spans="1:2" ht="12.75" x14ac:dyDescent="0.2">
      <c r="A4" s="2"/>
      <c r="B4" s="1"/>
    </row>
    <row r="5" spans="1:2" ht="12.75" x14ac:dyDescent="0.2">
      <c r="A5" s="2"/>
      <c r="B5" s="1"/>
    </row>
    <row r="6" spans="1:2" ht="12.75" x14ac:dyDescent="0.2">
      <c r="A6" s="2" t="s">
        <v>35</v>
      </c>
      <c r="B6" s="1" t="s">
        <v>63</v>
      </c>
    </row>
    <row r="7" spans="1:2" ht="12.75" x14ac:dyDescent="0.2">
      <c r="A7" s="2" t="s">
        <v>36</v>
      </c>
      <c r="B7" s="1" t="s">
        <v>64</v>
      </c>
    </row>
    <row r="8" spans="1:2" ht="12.75" x14ac:dyDescent="0.2">
      <c r="A8" s="2"/>
      <c r="B8" s="1"/>
    </row>
    <row r="9" spans="1:2" ht="12.75" x14ac:dyDescent="0.2">
      <c r="A9" s="2" t="s">
        <v>38</v>
      </c>
      <c r="B9" s="13" t="s">
        <v>67</v>
      </c>
    </row>
    <row r="10" spans="1:2" ht="12.75" x14ac:dyDescent="0.2">
      <c r="A10" s="2" t="s">
        <v>39</v>
      </c>
      <c r="B10" s="17" t="s">
        <v>115</v>
      </c>
    </row>
    <row r="11" spans="1:2" ht="12.75" x14ac:dyDescent="0.2">
      <c r="A11" s="2" t="s">
        <v>40</v>
      </c>
      <c r="B11" s="1" t="s">
        <v>37</v>
      </c>
    </row>
    <row r="12" spans="1:2" ht="12.75" x14ac:dyDescent="0.2">
      <c r="A12" s="2" t="s">
        <v>41</v>
      </c>
      <c r="B12" s="1" t="s">
        <v>59</v>
      </c>
    </row>
    <row r="13" spans="1:2" ht="12.75" x14ac:dyDescent="0.2">
      <c r="A13" s="2" t="s">
        <v>42</v>
      </c>
      <c r="B13" s="13" t="s">
        <v>70</v>
      </c>
    </row>
    <row r="14" spans="1:2" ht="12.75" x14ac:dyDescent="0.2">
      <c r="A14" s="2" t="s">
        <v>43</v>
      </c>
      <c r="B14" s="15" t="s">
        <v>112</v>
      </c>
    </row>
    <row r="15" spans="1:2" ht="12.75" x14ac:dyDescent="0.2">
      <c r="A15" s="2" t="s">
        <v>44</v>
      </c>
      <c r="B15" s="1" t="s">
        <v>66</v>
      </c>
    </row>
    <row r="16" spans="1:2" ht="12.75" x14ac:dyDescent="0.2">
      <c r="A16" s="2" t="s">
        <v>45</v>
      </c>
      <c r="B16" s="16" t="s">
        <v>113</v>
      </c>
    </row>
    <row r="17" spans="1:13" ht="12.75" x14ac:dyDescent="0.2">
      <c r="A17" s="2" t="s">
        <v>46</v>
      </c>
      <c r="B17" s="1" t="s">
        <v>62</v>
      </c>
    </row>
    <row r="18" spans="1:13" ht="12.75" x14ac:dyDescent="0.2">
      <c r="A18" s="2" t="s">
        <v>47</v>
      </c>
      <c r="B18" s="1" t="s">
        <v>48</v>
      </c>
    </row>
    <row r="19" spans="1:13" ht="12.75" x14ac:dyDescent="0.2">
      <c r="A19" s="2" t="s">
        <v>49</v>
      </c>
      <c r="B19" s="1" t="s">
        <v>50</v>
      </c>
    </row>
    <row r="20" spans="1:13" ht="12.75" x14ac:dyDescent="0.2">
      <c r="A20" s="2" t="s">
        <v>51</v>
      </c>
      <c r="B20" s="1" t="s">
        <v>52</v>
      </c>
    </row>
    <row r="21" spans="1:13" ht="12.75" x14ac:dyDescent="0.2">
      <c r="A21" s="2" t="s">
        <v>53</v>
      </c>
      <c r="B21" s="1" t="s">
        <v>54</v>
      </c>
    </row>
    <row r="22" spans="1:13" ht="12.75" x14ac:dyDescent="0.2">
      <c r="A22" s="2" t="s">
        <v>55</v>
      </c>
      <c r="B22" s="14" t="s">
        <v>108</v>
      </c>
    </row>
    <row r="23" spans="1:13" ht="12.75" x14ac:dyDescent="0.2">
      <c r="A23" s="2" t="s">
        <v>56</v>
      </c>
      <c r="B23" s="14" t="s">
        <v>107</v>
      </c>
    </row>
    <row r="24" spans="1:13" ht="12.75" x14ac:dyDescent="0.2">
      <c r="A24" s="2"/>
      <c r="B24" s="14" t="s">
        <v>111</v>
      </c>
    </row>
    <row r="25" spans="1:13" ht="12.75" x14ac:dyDescent="0.2">
      <c r="A25" s="2" t="s">
        <v>65</v>
      </c>
      <c r="B25" s="1" t="s">
        <v>71</v>
      </c>
    </row>
    <row r="26" spans="1:13" ht="12.75" x14ac:dyDescent="0.2">
      <c r="A26" s="2" t="s">
        <v>57</v>
      </c>
      <c r="B26" s="1" t="s">
        <v>60</v>
      </c>
    </row>
    <row r="27" spans="1:13" ht="12.75" x14ac:dyDescent="0.2">
      <c r="A27" s="2"/>
      <c r="B27" s="1" t="s">
        <v>61</v>
      </c>
    </row>
    <row r="28" spans="1:13" ht="12.75" x14ac:dyDescent="0.2">
      <c r="A28" s="2"/>
      <c r="B28" s="1" t="s">
        <v>72</v>
      </c>
    </row>
    <row r="29" spans="1:13" ht="12.75" x14ac:dyDescent="0.2">
      <c r="A29" s="2"/>
      <c r="B29" s="17" t="s">
        <v>110</v>
      </c>
      <c r="D29" s="14" t="s">
        <v>109</v>
      </c>
      <c r="M29" s="14"/>
    </row>
    <row r="30" spans="1:13" ht="12.75" x14ac:dyDescent="0.2">
      <c r="A30" s="2" t="s">
        <v>58</v>
      </c>
      <c r="B30" s="16" t="s">
        <v>114</v>
      </c>
    </row>
  </sheetData>
  <phoneticPr fontId="0" type="noConversion"/>
  <hyperlinks>
    <hyperlink ref="B22" r:id="rId1" xr:uid="{00000000-0004-0000-0000-000000000000}"/>
    <hyperlink ref="D29" r:id="rId2" xr:uid="{9482F877-7B1C-4497-9E3A-FC1823D8BAC6}"/>
    <hyperlink ref="B23" r:id="rId3" xr:uid="{00000000-0004-0000-0000-000001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abSelected="1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4" sqref="D4:P16"/>
    </sheetView>
  </sheetViews>
  <sheetFormatPr defaultColWidth="9.33203125" defaultRowHeight="12.75" x14ac:dyDescent="0.2"/>
  <cols>
    <col min="1" max="1" width="12.5" style="2" customWidth="1"/>
    <col min="2" max="2" width="27.83203125" style="2" bestFit="1" customWidth="1"/>
    <col min="3" max="3" width="12.83203125" style="2" bestFit="1" customWidth="1"/>
    <col min="4" max="4" width="13.5" style="2" customWidth="1"/>
    <col min="5" max="6" width="13.83203125" style="2" customWidth="1"/>
    <col min="7" max="7" width="15.1640625" style="2" customWidth="1"/>
    <col min="8" max="8" width="14.83203125" style="2" customWidth="1"/>
    <col min="9" max="14" width="13.33203125" style="2" customWidth="1"/>
    <col min="15" max="15" width="14.6640625" style="2" customWidth="1"/>
    <col min="16" max="16" width="14" style="2" customWidth="1"/>
    <col min="17" max="17" width="13" style="2" bestFit="1" customWidth="1"/>
    <col min="18" max="16384" width="9.33203125" style="2"/>
  </cols>
  <sheetData>
    <row r="1" spans="1:16" x14ac:dyDescent="0.2">
      <c r="D1" s="3">
        <v>2001</v>
      </c>
      <c r="E1" s="3">
        <v>2002</v>
      </c>
      <c r="F1" s="3">
        <v>2003</v>
      </c>
      <c r="G1" s="3">
        <v>2004</v>
      </c>
      <c r="H1" s="3">
        <v>2005</v>
      </c>
      <c r="I1" s="3">
        <v>2006</v>
      </c>
      <c r="J1" s="3">
        <v>2007</v>
      </c>
      <c r="K1" s="3">
        <v>2008</v>
      </c>
      <c r="L1" s="3">
        <v>2009</v>
      </c>
      <c r="M1" s="3">
        <v>2010</v>
      </c>
      <c r="N1" s="3">
        <v>2011</v>
      </c>
      <c r="O1" s="3">
        <v>2012</v>
      </c>
      <c r="P1" s="3">
        <v>2013</v>
      </c>
    </row>
    <row r="2" spans="1:16" ht="36.75" customHeight="1" x14ac:dyDescent="0.2">
      <c r="A2" s="3" t="s">
        <v>30</v>
      </c>
      <c r="B2" s="3" t="s">
        <v>31</v>
      </c>
      <c r="C2" s="3" t="s">
        <v>116</v>
      </c>
      <c r="D2" s="4" t="s">
        <v>32</v>
      </c>
      <c r="E2" s="4" t="s">
        <v>32</v>
      </c>
      <c r="F2" s="4" t="s">
        <v>32</v>
      </c>
      <c r="G2" s="4" t="s">
        <v>32</v>
      </c>
      <c r="H2" s="4" t="s">
        <v>32</v>
      </c>
      <c r="I2" s="4" t="s">
        <v>32</v>
      </c>
      <c r="J2" s="4" t="s">
        <v>32</v>
      </c>
      <c r="K2" s="4" t="s">
        <v>32</v>
      </c>
      <c r="L2" s="4" t="s">
        <v>32</v>
      </c>
      <c r="M2" s="4" t="s">
        <v>32</v>
      </c>
      <c r="N2" s="4" t="s">
        <v>32</v>
      </c>
      <c r="O2" s="4" t="s">
        <v>32</v>
      </c>
      <c r="P2" s="4" t="s">
        <v>32</v>
      </c>
    </row>
    <row r="3" spans="1:16" ht="12.75" customHeight="1" x14ac:dyDescent="0.2">
      <c r="A3" s="11"/>
      <c r="B3" s="11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6" x14ac:dyDescent="0.2">
      <c r="A4" s="1" t="s">
        <v>75</v>
      </c>
      <c r="B4" s="5" t="s">
        <v>0</v>
      </c>
      <c r="C4" s="18" t="s">
        <v>117</v>
      </c>
      <c r="D4" s="6">
        <v>16200</v>
      </c>
      <c r="E4" s="8">
        <v>17000</v>
      </c>
      <c r="F4" s="7">
        <v>17400</v>
      </c>
      <c r="G4" s="7">
        <v>16600</v>
      </c>
      <c r="H4" s="7">
        <v>17900</v>
      </c>
      <c r="I4" s="7">
        <v>17600</v>
      </c>
      <c r="J4" s="7">
        <v>18600</v>
      </c>
      <c r="K4" s="7">
        <f t="shared" ref="K4:K35" si="0">AVERAGE(J4,L4)</f>
        <v>19000</v>
      </c>
      <c r="L4" s="7">
        <v>19400</v>
      </c>
      <c r="M4" s="7">
        <v>19400</v>
      </c>
      <c r="N4" s="7">
        <v>19600</v>
      </c>
      <c r="O4" s="2">
        <v>20100</v>
      </c>
      <c r="P4" s="2">
        <v>21000</v>
      </c>
    </row>
    <row r="5" spans="1:16" x14ac:dyDescent="0.2">
      <c r="A5" s="1" t="s">
        <v>76</v>
      </c>
      <c r="B5" s="5" t="s">
        <v>1</v>
      </c>
      <c r="C5" s="18" t="s">
        <v>118</v>
      </c>
      <c r="D5" s="6">
        <v>18700</v>
      </c>
      <c r="E5" s="8">
        <v>19700</v>
      </c>
      <c r="F5" s="7">
        <v>20000</v>
      </c>
      <c r="G5" s="7">
        <v>19900</v>
      </c>
      <c r="H5" s="7">
        <v>21200</v>
      </c>
      <c r="I5" s="7">
        <v>20400</v>
      </c>
      <c r="J5" s="7">
        <v>22000</v>
      </c>
      <c r="K5" s="7">
        <f t="shared" si="0"/>
        <v>23150</v>
      </c>
      <c r="L5" s="7">
        <v>24300</v>
      </c>
      <c r="M5" s="7">
        <v>24100</v>
      </c>
      <c r="N5" s="7">
        <v>24200</v>
      </c>
      <c r="O5" s="2">
        <v>25800</v>
      </c>
      <c r="P5" s="2">
        <v>26800</v>
      </c>
    </row>
    <row r="6" spans="1:16" x14ac:dyDescent="0.2">
      <c r="A6" s="1" t="s">
        <v>77</v>
      </c>
      <c r="B6" s="5" t="s">
        <v>2</v>
      </c>
      <c r="C6" s="18" t="s">
        <v>117</v>
      </c>
      <c r="D6" s="6">
        <v>18300</v>
      </c>
      <c r="E6" s="8">
        <v>17800</v>
      </c>
      <c r="F6" s="7">
        <v>17700</v>
      </c>
      <c r="G6" s="7">
        <v>17700</v>
      </c>
      <c r="H6" s="7">
        <v>19400</v>
      </c>
      <c r="I6" s="7">
        <v>19600</v>
      </c>
      <c r="J6" s="7">
        <v>19800</v>
      </c>
      <c r="K6" s="7">
        <f t="shared" si="0"/>
        <v>20950</v>
      </c>
      <c r="L6" s="7">
        <v>22100</v>
      </c>
      <c r="M6" s="7">
        <v>22600</v>
      </c>
      <c r="N6" s="7">
        <v>22300</v>
      </c>
      <c r="O6" s="2">
        <v>23100</v>
      </c>
      <c r="P6" s="2">
        <v>24400</v>
      </c>
    </row>
    <row r="7" spans="1:16" x14ac:dyDescent="0.2">
      <c r="A7" s="1" t="s">
        <v>78</v>
      </c>
      <c r="B7" s="5" t="s">
        <v>3</v>
      </c>
      <c r="C7" s="18" t="s">
        <v>119</v>
      </c>
      <c r="D7" s="6">
        <v>16500</v>
      </c>
      <c r="E7" s="8">
        <v>16400</v>
      </c>
      <c r="F7" s="7">
        <v>16800</v>
      </c>
      <c r="G7" s="7">
        <v>16500</v>
      </c>
      <c r="H7" s="7">
        <v>17600</v>
      </c>
      <c r="I7" s="7">
        <v>18200</v>
      </c>
      <c r="J7" s="7">
        <v>18300</v>
      </c>
      <c r="K7" s="7">
        <f t="shared" si="0"/>
        <v>18950</v>
      </c>
      <c r="L7" s="7">
        <v>19600</v>
      </c>
      <c r="M7" s="7">
        <v>19700</v>
      </c>
      <c r="N7" s="7">
        <v>20200</v>
      </c>
      <c r="O7" s="2">
        <v>20600</v>
      </c>
      <c r="P7" s="2">
        <v>21300</v>
      </c>
    </row>
    <row r="8" spans="1:16" x14ac:dyDescent="0.2">
      <c r="A8" s="1" t="s">
        <v>79</v>
      </c>
      <c r="B8" s="5" t="s">
        <v>4</v>
      </c>
      <c r="C8" s="18" t="s">
        <v>120</v>
      </c>
      <c r="D8" s="9">
        <v>19100</v>
      </c>
      <c r="E8" s="8">
        <v>20100</v>
      </c>
      <c r="F8" s="7">
        <v>21400</v>
      </c>
      <c r="G8" s="7">
        <v>20900</v>
      </c>
      <c r="H8" s="7">
        <v>22400</v>
      </c>
      <c r="I8" s="7">
        <v>23000</v>
      </c>
      <c r="J8" s="7">
        <v>23200</v>
      </c>
      <c r="K8" s="7">
        <f t="shared" si="0"/>
        <v>24050</v>
      </c>
      <c r="L8" s="7">
        <v>24900</v>
      </c>
      <c r="M8" s="7">
        <v>25800</v>
      </c>
      <c r="N8" s="7">
        <v>25100</v>
      </c>
      <c r="O8" s="2">
        <v>26900</v>
      </c>
      <c r="P8" s="2">
        <v>27200</v>
      </c>
    </row>
    <row r="9" spans="1:16" x14ac:dyDescent="0.2">
      <c r="A9" s="1" t="s">
        <v>80</v>
      </c>
      <c r="B9" s="5" t="s">
        <v>5</v>
      </c>
      <c r="C9" s="18" t="s">
        <v>121</v>
      </c>
      <c r="D9" s="9">
        <v>19800</v>
      </c>
      <c r="E9" s="8">
        <v>21700</v>
      </c>
      <c r="F9" s="7">
        <v>21300</v>
      </c>
      <c r="G9" s="7">
        <v>23200</v>
      </c>
      <c r="H9" s="7">
        <v>24200</v>
      </c>
      <c r="I9" s="7">
        <v>25900</v>
      </c>
      <c r="J9" s="7">
        <v>26900</v>
      </c>
      <c r="K9" s="7">
        <f t="shared" si="0"/>
        <v>27650</v>
      </c>
      <c r="L9" s="7">
        <v>28400</v>
      </c>
      <c r="M9" s="7">
        <v>29400</v>
      </c>
      <c r="N9" s="7">
        <v>30400</v>
      </c>
      <c r="O9" s="2">
        <v>31600</v>
      </c>
      <c r="P9" s="2">
        <v>32000</v>
      </c>
    </row>
    <row r="10" spans="1:16" x14ac:dyDescent="0.2">
      <c r="A10" s="1" t="s">
        <v>81</v>
      </c>
      <c r="B10" s="5" t="s">
        <v>6</v>
      </c>
      <c r="C10" s="18" t="s">
        <v>120</v>
      </c>
      <c r="D10" s="6">
        <v>18300</v>
      </c>
      <c r="E10" s="8">
        <v>18000</v>
      </c>
      <c r="F10" s="7">
        <v>19000</v>
      </c>
      <c r="G10" s="7">
        <v>18600</v>
      </c>
      <c r="H10" s="7">
        <v>19600</v>
      </c>
      <c r="I10" s="7">
        <v>20700</v>
      </c>
      <c r="J10" s="7">
        <v>20900</v>
      </c>
      <c r="K10" s="7">
        <f t="shared" si="0"/>
        <v>22000</v>
      </c>
      <c r="L10" s="7">
        <v>23100</v>
      </c>
      <c r="M10" s="7">
        <v>22000</v>
      </c>
      <c r="N10" s="7">
        <v>22700</v>
      </c>
      <c r="O10" s="2">
        <v>23900</v>
      </c>
      <c r="P10" s="2">
        <v>24300</v>
      </c>
    </row>
    <row r="11" spans="1:16" x14ac:dyDescent="0.2">
      <c r="A11" s="1" t="s">
        <v>82</v>
      </c>
      <c r="B11" s="5" t="s">
        <v>7</v>
      </c>
      <c r="C11" s="18" t="s">
        <v>119</v>
      </c>
      <c r="D11" s="9">
        <v>17500</v>
      </c>
      <c r="E11" s="8">
        <v>18900</v>
      </c>
      <c r="F11" s="7">
        <v>19400</v>
      </c>
      <c r="G11" s="7">
        <v>19100</v>
      </c>
      <c r="H11" s="7">
        <v>19000</v>
      </c>
      <c r="I11" s="7">
        <v>19900</v>
      </c>
      <c r="J11" s="7">
        <v>20200</v>
      </c>
      <c r="K11" s="7">
        <f t="shared" si="0"/>
        <v>21000</v>
      </c>
      <c r="L11" s="7">
        <v>21800</v>
      </c>
      <c r="M11" s="7">
        <v>20800</v>
      </c>
      <c r="N11" s="7">
        <v>21300</v>
      </c>
      <c r="O11" s="2">
        <v>22700</v>
      </c>
      <c r="P11" s="2">
        <v>23200</v>
      </c>
    </row>
    <row r="12" spans="1:16" x14ac:dyDescent="0.2">
      <c r="A12" s="1" t="s">
        <v>83</v>
      </c>
      <c r="B12" s="5" t="s">
        <v>8</v>
      </c>
      <c r="C12" s="18" t="s">
        <v>118</v>
      </c>
      <c r="D12" s="9">
        <v>17500</v>
      </c>
      <c r="E12" s="8">
        <v>18100</v>
      </c>
      <c r="F12" s="7">
        <v>18200</v>
      </c>
      <c r="G12" s="7">
        <v>17000</v>
      </c>
      <c r="H12" s="7">
        <v>18900</v>
      </c>
      <c r="I12" s="7">
        <v>19500</v>
      </c>
      <c r="J12" s="7">
        <v>19900</v>
      </c>
      <c r="K12" s="7">
        <f t="shared" si="0"/>
        <v>21000</v>
      </c>
      <c r="L12" s="7">
        <v>22100</v>
      </c>
      <c r="M12" s="7">
        <v>20900</v>
      </c>
      <c r="N12" s="7">
        <v>22300</v>
      </c>
      <c r="O12" s="2">
        <v>22700</v>
      </c>
      <c r="P12" s="2">
        <v>23900</v>
      </c>
    </row>
    <row r="13" spans="1:16" x14ac:dyDescent="0.2">
      <c r="A13" s="1" t="s">
        <v>84</v>
      </c>
      <c r="B13" s="5" t="s">
        <v>9</v>
      </c>
      <c r="C13" s="18" t="s">
        <v>117</v>
      </c>
      <c r="D13" s="9">
        <v>18600</v>
      </c>
      <c r="E13" s="8">
        <v>17000</v>
      </c>
      <c r="F13" s="7">
        <v>17800</v>
      </c>
      <c r="G13" s="7">
        <v>17100</v>
      </c>
      <c r="H13" s="7">
        <v>18200</v>
      </c>
      <c r="I13" s="7">
        <v>19200</v>
      </c>
      <c r="J13" s="7">
        <v>20500</v>
      </c>
      <c r="K13" s="7">
        <f t="shared" si="0"/>
        <v>20950</v>
      </c>
      <c r="L13" s="7">
        <v>21400</v>
      </c>
      <c r="M13" s="7">
        <v>21300</v>
      </c>
      <c r="N13" s="7">
        <v>21800</v>
      </c>
      <c r="O13" s="2">
        <v>22600</v>
      </c>
      <c r="P13" s="2">
        <v>23500</v>
      </c>
    </row>
    <row r="14" spans="1:16" x14ac:dyDescent="0.2">
      <c r="A14" s="1" t="s">
        <v>85</v>
      </c>
      <c r="B14" s="5" t="s">
        <v>10</v>
      </c>
      <c r="C14" s="18" t="s">
        <v>117</v>
      </c>
      <c r="D14" s="9">
        <v>17700</v>
      </c>
      <c r="E14" s="8">
        <v>17300</v>
      </c>
      <c r="F14" s="7">
        <v>17000</v>
      </c>
      <c r="G14" s="7">
        <v>18000</v>
      </c>
      <c r="H14" s="7">
        <v>19300</v>
      </c>
      <c r="I14" s="7">
        <v>18400</v>
      </c>
      <c r="J14" s="7">
        <v>20900</v>
      </c>
      <c r="K14" s="7">
        <f t="shared" si="0"/>
        <v>21550</v>
      </c>
      <c r="L14" s="7">
        <v>22200</v>
      </c>
      <c r="M14" s="7">
        <v>22300</v>
      </c>
      <c r="N14" s="7">
        <v>23300</v>
      </c>
      <c r="O14" s="2">
        <v>24300</v>
      </c>
      <c r="P14" s="2">
        <v>26000</v>
      </c>
    </row>
    <row r="15" spans="1:16" x14ac:dyDescent="0.2">
      <c r="A15" s="1" t="s">
        <v>86</v>
      </c>
      <c r="B15" s="5" t="s">
        <v>11</v>
      </c>
      <c r="C15" s="18" t="s">
        <v>119</v>
      </c>
      <c r="D15" s="9">
        <v>21000</v>
      </c>
      <c r="E15" s="8">
        <v>20800</v>
      </c>
      <c r="F15" s="7">
        <v>19600</v>
      </c>
      <c r="G15" s="7">
        <v>20800</v>
      </c>
      <c r="H15" s="7">
        <v>23000</v>
      </c>
      <c r="I15" s="7">
        <v>22800</v>
      </c>
      <c r="J15" s="7">
        <v>23600</v>
      </c>
      <c r="K15" s="7">
        <f t="shared" si="0"/>
        <v>25150</v>
      </c>
      <c r="L15" s="7">
        <v>26700</v>
      </c>
      <c r="M15" s="7">
        <v>27100</v>
      </c>
      <c r="N15" s="7">
        <v>27600</v>
      </c>
      <c r="O15" s="2">
        <v>27600</v>
      </c>
      <c r="P15" s="2">
        <v>30100</v>
      </c>
    </row>
    <row r="16" spans="1:16" x14ac:dyDescent="0.2">
      <c r="A16" s="1" t="s">
        <v>87</v>
      </c>
      <c r="B16" s="5" t="s">
        <v>12</v>
      </c>
      <c r="C16" s="18" t="s">
        <v>118</v>
      </c>
      <c r="D16" s="9">
        <v>19100</v>
      </c>
      <c r="E16" s="8">
        <v>17100</v>
      </c>
      <c r="F16" s="7">
        <v>18800</v>
      </c>
      <c r="G16" s="7">
        <v>18300</v>
      </c>
      <c r="H16" s="7">
        <v>18800</v>
      </c>
      <c r="I16" s="7">
        <v>19000</v>
      </c>
      <c r="J16" s="7">
        <v>19800</v>
      </c>
      <c r="K16" s="7">
        <f t="shared" si="0"/>
        <v>20800</v>
      </c>
      <c r="L16" s="7">
        <v>21800</v>
      </c>
      <c r="M16" s="7">
        <v>21500</v>
      </c>
      <c r="N16" s="7">
        <v>22200</v>
      </c>
      <c r="O16" s="2">
        <v>23300</v>
      </c>
      <c r="P16" s="2">
        <v>24400</v>
      </c>
    </row>
    <row r="17" spans="1:16" x14ac:dyDescent="0.2">
      <c r="A17" s="1" t="s">
        <v>88</v>
      </c>
      <c r="B17" s="5" t="s">
        <v>13</v>
      </c>
      <c r="C17" s="18" t="s">
        <v>119</v>
      </c>
      <c r="D17" s="9">
        <v>19300</v>
      </c>
      <c r="E17" s="8">
        <v>19400</v>
      </c>
      <c r="F17" s="7">
        <v>19600</v>
      </c>
      <c r="G17" s="7">
        <v>19600</v>
      </c>
      <c r="H17" s="7">
        <v>20700</v>
      </c>
      <c r="I17" s="7">
        <v>21400</v>
      </c>
      <c r="J17" s="7">
        <v>22100</v>
      </c>
      <c r="K17" s="7">
        <f t="shared" si="0"/>
        <v>22450</v>
      </c>
      <c r="L17" s="7">
        <v>22800</v>
      </c>
      <c r="M17" s="7">
        <v>22300</v>
      </c>
      <c r="N17" s="7">
        <v>23000</v>
      </c>
      <c r="O17" s="2">
        <v>24000</v>
      </c>
      <c r="P17" s="2">
        <v>25200</v>
      </c>
    </row>
    <row r="18" spans="1:16" x14ac:dyDescent="0.2">
      <c r="A18" s="1" t="s">
        <v>89</v>
      </c>
      <c r="B18" s="5" t="s">
        <v>14</v>
      </c>
      <c r="C18" s="18" t="s">
        <v>117</v>
      </c>
      <c r="D18" s="9">
        <v>17400</v>
      </c>
      <c r="E18" s="10">
        <v>18300</v>
      </c>
      <c r="F18" s="7">
        <v>18100</v>
      </c>
      <c r="G18" s="7">
        <v>18600</v>
      </c>
      <c r="H18" s="7">
        <v>20200</v>
      </c>
      <c r="I18" s="7">
        <v>20400</v>
      </c>
      <c r="J18" s="7">
        <v>20800</v>
      </c>
      <c r="K18" s="7">
        <f t="shared" si="0"/>
        <v>21400</v>
      </c>
      <c r="L18" s="7">
        <v>22000</v>
      </c>
      <c r="M18" s="7">
        <v>22500</v>
      </c>
      <c r="N18" s="7">
        <v>22700</v>
      </c>
      <c r="O18" s="2">
        <v>23500</v>
      </c>
      <c r="P18" s="2">
        <v>24700</v>
      </c>
    </row>
    <row r="19" spans="1:16" x14ac:dyDescent="0.2">
      <c r="A19" s="1" t="s">
        <v>90</v>
      </c>
      <c r="B19" s="5" t="s">
        <v>15</v>
      </c>
      <c r="C19" s="18" t="s">
        <v>119</v>
      </c>
      <c r="D19" s="9">
        <v>17600</v>
      </c>
      <c r="E19" s="8">
        <v>18800</v>
      </c>
      <c r="F19" s="7">
        <v>18900</v>
      </c>
      <c r="G19" s="7">
        <v>20400</v>
      </c>
      <c r="H19" s="7">
        <v>20200</v>
      </c>
      <c r="I19" s="7">
        <v>21200</v>
      </c>
      <c r="J19" s="7">
        <v>21800</v>
      </c>
      <c r="K19" s="7">
        <f t="shared" si="0"/>
        <v>22400</v>
      </c>
      <c r="L19" s="7">
        <v>23000</v>
      </c>
      <c r="M19" s="7">
        <v>21900</v>
      </c>
      <c r="N19" s="7">
        <v>23500</v>
      </c>
      <c r="O19" s="2">
        <v>23200</v>
      </c>
      <c r="P19" s="2">
        <v>23600</v>
      </c>
    </row>
    <row r="20" spans="1:16" x14ac:dyDescent="0.2">
      <c r="A20" s="1" t="s">
        <v>91</v>
      </c>
      <c r="B20" s="5" t="s">
        <v>16</v>
      </c>
      <c r="C20" s="18" t="s">
        <v>119</v>
      </c>
      <c r="D20" s="9">
        <v>16500</v>
      </c>
      <c r="E20" s="8">
        <v>18600</v>
      </c>
      <c r="F20" s="7">
        <v>18900</v>
      </c>
      <c r="G20" s="7">
        <v>18400</v>
      </c>
      <c r="H20" s="7">
        <v>18800</v>
      </c>
      <c r="I20" s="7">
        <v>19100</v>
      </c>
      <c r="J20" s="7">
        <v>20400</v>
      </c>
      <c r="K20" s="7">
        <f t="shared" si="0"/>
        <v>21200</v>
      </c>
      <c r="L20" s="7">
        <v>22000</v>
      </c>
      <c r="M20" s="7">
        <v>21600</v>
      </c>
      <c r="N20" s="7">
        <v>21800</v>
      </c>
      <c r="O20" s="2">
        <v>22400</v>
      </c>
      <c r="P20" s="2">
        <v>23700</v>
      </c>
    </row>
    <row r="21" spans="1:16" x14ac:dyDescent="0.2">
      <c r="A21" s="1" t="s">
        <v>92</v>
      </c>
      <c r="B21" s="5" t="s">
        <v>17</v>
      </c>
      <c r="C21" s="18" t="s">
        <v>121</v>
      </c>
      <c r="D21" s="6">
        <v>18700</v>
      </c>
      <c r="E21" s="8">
        <v>19100</v>
      </c>
      <c r="F21" s="7">
        <v>21500</v>
      </c>
      <c r="G21" s="7">
        <v>20800</v>
      </c>
      <c r="H21" s="7">
        <v>22800</v>
      </c>
      <c r="I21" s="7">
        <v>23100</v>
      </c>
      <c r="J21" s="7">
        <v>24400</v>
      </c>
      <c r="K21" s="7">
        <f t="shared" si="0"/>
        <v>25750</v>
      </c>
      <c r="L21" s="7">
        <v>27100</v>
      </c>
      <c r="M21" s="7">
        <v>26100</v>
      </c>
      <c r="N21" s="7">
        <v>28100</v>
      </c>
      <c r="O21" s="2">
        <v>28500</v>
      </c>
      <c r="P21" s="2">
        <v>28700</v>
      </c>
    </row>
    <row r="22" spans="1:16" x14ac:dyDescent="0.2">
      <c r="A22" s="1" t="s">
        <v>93</v>
      </c>
      <c r="B22" s="5" t="s">
        <v>18</v>
      </c>
      <c r="C22" s="18" t="s">
        <v>121</v>
      </c>
      <c r="D22" s="6">
        <v>25900</v>
      </c>
      <c r="E22" s="8">
        <v>25400</v>
      </c>
      <c r="F22" s="7">
        <v>24000</v>
      </c>
      <c r="G22" s="7">
        <v>22400</v>
      </c>
      <c r="H22" s="7">
        <v>27300</v>
      </c>
      <c r="I22" s="7">
        <v>27500</v>
      </c>
      <c r="J22" s="7">
        <v>31900</v>
      </c>
      <c r="K22" s="7">
        <f t="shared" si="0"/>
        <v>33000</v>
      </c>
      <c r="L22" s="7">
        <v>34100</v>
      </c>
      <c r="M22" s="7">
        <v>31700</v>
      </c>
      <c r="N22" s="7">
        <v>37200</v>
      </c>
      <c r="O22" s="2">
        <v>37800</v>
      </c>
      <c r="P22" s="2">
        <v>37600</v>
      </c>
    </row>
    <row r="23" spans="1:16" x14ac:dyDescent="0.2">
      <c r="A23" s="1" t="s">
        <v>94</v>
      </c>
      <c r="B23" s="5" t="s">
        <v>73</v>
      </c>
      <c r="C23" s="18" t="s">
        <v>120</v>
      </c>
      <c r="D23" s="9">
        <v>19500</v>
      </c>
      <c r="E23" s="8">
        <v>20700</v>
      </c>
      <c r="F23" s="7">
        <v>20100</v>
      </c>
      <c r="G23" s="7">
        <v>20400</v>
      </c>
      <c r="H23" s="7">
        <v>22400</v>
      </c>
      <c r="I23" s="7">
        <v>22900</v>
      </c>
      <c r="J23" s="7">
        <v>25200</v>
      </c>
      <c r="K23" s="7">
        <f t="shared" si="0"/>
        <v>25400</v>
      </c>
      <c r="L23" s="7">
        <v>25600</v>
      </c>
      <c r="M23" s="7">
        <v>24800</v>
      </c>
      <c r="N23" s="7">
        <v>26000</v>
      </c>
      <c r="O23" s="2">
        <v>26500</v>
      </c>
      <c r="P23" s="2">
        <v>26100</v>
      </c>
    </row>
    <row r="24" spans="1:16" x14ac:dyDescent="0.2">
      <c r="A24" s="1" t="s">
        <v>95</v>
      </c>
      <c r="B24" s="5" t="s">
        <v>19</v>
      </c>
      <c r="C24" s="18" t="s">
        <v>120</v>
      </c>
      <c r="D24" s="6">
        <v>18200</v>
      </c>
      <c r="E24" s="8">
        <v>18800</v>
      </c>
      <c r="F24" s="7">
        <v>20000</v>
      </c>
      <c r="G24" s="7">
        <v>19900</v>
      </c>
      <c r="H24" s="7">
        <v>20700</v>
      </c>
      <c r="I24" s="7">
        <v>21600</v>
      </c>
      <c r="J24" s="7">
        <v>22200</v>
      </c>
      <c r="K24" s="7">
        <f t="shared" si="0"/>
        <v>23100</v>
      </c>
      <c r="L24" s="7">
        <v>24000</v>
      </c>
      <c r="M24" s="7">
        <v>24000</v>
      </c>
      <c r="N24" s="7">
        <v>24600</v>
      </c>
      <c r="O24" s="2">
        <v>26000</v>
      </c>
      <c r="P24" s="2">
        <v>26800</v>
      </c>
    </row>
    <row r="25" spans="1:16" x14ac:dyDescent="0.2">
      <c r="A25" s="1" t="s">
        <v>96</v>
      </c>
      <c r="B25" s="5" t="s">
        <v>20</v>
      </c>
      <c r="C25" s="18" t="s">
        <v>117</v>
      </c>
      <c r="D25" s="6">
        <v>18000</v>
      </c>
      <c r="E25" s="8">
        <v>17300</v>
      </c>
      <c r="F25" s="7">
        <v>17000</v>
      </c>
      <c r="G25" s="7">
        <v>18100</v>
      </c>
      <c r="H25" s="7">
        <v>20000</v>
      </c>
      <c r="I25" s="7">
        <v>20900</v>
      </c>
      <c r="J25" s="7">
        <v>21000</v>
      </c>
      <c r="K25" s="7">
        <f t="shared" si="0"/>
        <v>21650</v>
      </c>
      <c r="L25" s="7">
        <v>22300</v>
      </c>
      <c r="M25" s="7">
        <v>23200</v>
      </c>
      <c r="N25" s="7">
        <v>22900</v>
      </c>
      <c r="O25" s="2">
        <v>23000</v>
      </c>
      <c r="P25" s="2">
        <v>24000</v>
      </c>
    </row>
    <row r="26" spans="1:16" x14ac:dyDescent="0.2">
      <c r="A26" s="1" t="s">
        <v>97</v>
      </c>
      <c r="B26" s="5" t="s">
        <v>21</v>
      </c>
      <c r="C26" s="18" t="s">
        <v>120</v>
      </c>
      <c r="D26" s="9">
        <v>18500</v>
      </c>
      <c r="E26" s="8">
        <v>21200</v>
      </c>
      <c r="F26" s="7">
        <v>19700</v>
      </c>
      <c r="G26" s="7">
        <v>19400</v>
      </c>
      <c r="H26" s="7">
        <v>20500</v>
      </c>
      <c r="I26" s="7">
        <v>21600</v>
      </c>
      <c r="J26" s="7">
        <v>22300</v>
      </c>
      <c r="K26" s="7">
        <f t="shared" si="0"/>
        <v>23200</v>
      </c>
      <c r="L26" s="7">
        <v>24100</v>
      </c>
      <c r="M26" s="7">
        <v>24700</v>
      </c>
      <c r="N26" s="7">
        <v>25200</v>
      </c>
      <c r="O26" s="2">
        <v>25800</v>
      </c>
      <c r="P26" s="2">
        <v>27800</v>
      </c>
    </row>
    <row r="27" spans="1:16" x14ac:dyDescent="0.2">
      <c r="A27" s="1" t="s">
        <v>98</v>
      </c>
      <c r="B27" s="5" t="s">
        <v>22</v>
      </c>
      <c r="C27" s="18" t="s">
        <v>117</v>
      </c>
      <c r="D27" s="6">
        <v>15300</v>
      </c>
      <c r="E27" s="8">
        <v>15000</v>
      </c>
      <c r="F27" s="7">
        <v>14500</v>
      </c>
      <c r="G27" s="7">
        <v>15100</v>
      </c>
      <c r="H27" s="7">
        <v>15200</v>
      </c>
      <c r="I27" s="7">
        <v>15800</v>
      </c>
      <c r="J27" s="7">
        <v>16500</v>
      </c>
      <c r="K27" s="7">
        <f t="shared" si="0"/>
        <v>17050</v>
      </c>
      <c r="L27" s="7">
        <v>17600</v>
      </c>
      <c r="M27" s="7">
        <v>17400</v>
      </c>
      <c r="N27" s="7">
        <v>17600</v>
      </c>
      <c r="O27" s="2">
        <v>18500</v>
      </c>
      <c r="P27" s="2">
        <v>20100</v>
      </c>
    </row>
    <row r="28" spans="1:16" x14ac:dyDescent="0.2">
      <c r="A28" s="1" t="s">
        <v>99</v>
      </c>
      <c r="B28" s="5" t="s">
        <v>23</v>
      </c>
      <c r="C28" s="18" t="s">
        <v>117</v>
      </c>
      <c r="D28" s="9">
        <v>17200</v>
      </c>
      <c r="E28" s="8">
        <v>18700</v>
      </c>
      <c r="F28" s="7">
        <v>19000</v>
      </c>
      <c r="G28" s="7">
        <v>17800</v>
      </c>
      <c r="H28" s="7">
        <v>20000</v>
      </c>
      <c r="I28" s="7">
        <v>20700</v>
      </c>
      <c r="J28" s="7">
        <v>21600</v>
      </c>
      <c r="K28" s="7">
        <f t="shared" si="0"/>
        <v>21950</v>
      </c>
      <c r="L28" s="7">
        <v>22300</v>
      </c>
      <c r="M28" s="7">
        <v>22200</v>
      </c>
      <c r="N28" s="7">
        <v>22900</v>
      </c>
      <c r="O28" s="2">
        <v>23800</v>
      </c>
      <c r="P28" s="2">
        <v>25100</v>
      </c>
    </row>
    <row r="29" spans="1:16" x14ac:dyDescent="0.2">
      <c r="A29" s="1" t="s">
        <v>100</v>
      </c>
      <c r="B29" s="5" t="s">
        <v>74</v>
      </c>
      <c r="C29" s="18" t="s">
        <v>120</v>
      </c>
      <c r="D29" s="9">
        <v>23400</v>
      </c>
      <c r="E29" s="8">
        <v>23100</v>
      </c>
      <c r="F29" s="7">
        <v>25600</v>
      </c>
      <c r="G29" s="7">
        <v>24500</v>
      </c>
      <c r="H29" s="7">
        <v>25800</v>
      </c>
      <c r="I29" s="7">
        <v>27300</v>
      </c>
      <c r="J29" s="7">
        <v>29100</v>
      </c>
      <c r="K29" s="7">
        <f t="shared" si="0"/>
        <v>29950</v>
      </c>
      <c r="L29" s="7">
        <v>30800</v>
      </c>
      <c r="M29" s="7">
        <v>30600</v>
      </c>
      <c r="N29" s="7">
        <v>31500</v>
      </c>
      <c r="O29" s="2">
        <v>33400</v>
      </c>
      <c r="P29" s="2">
        <v>33700</v>
      </c>
    </row>
    <row r="30" spans="1:16" x14ac:dyDescent="0.2">
      <c r="A30" s="1" t="s">
        <v>101</v>
      </c>
      <c r="B30" s="5" t="s">
        <v>24</v>
      </c>
      <c r="C30" s="18" t="s">
        <v>121</v>
      </c>
      <c r="D30" s="6">
        <v>16900</v>
      </c>
      <c r="E30" s="8">
        <v>17900</v>
      </c>
      <c r="F30" s="7">
        <v>18200</v>
      </c>
      <c r="G30" s="7">
        <v>17800</v>
      </c>
      <c r="H30" s="7">
        <v>20000</v>
      </c>
      <c r="I30" s="7">
        <v>20400</v>
      </c>
      <c r="J30" s="7">
        <v>21900</v>
      </c>
      <c r="K30" s="7">
        <f t="shared" si="0"/>
        <v>22600</v>
      </c>
      <c r="L30" s="7">
        <v>23300</v>
      </c>
      <c r="M30" s="7">
        <v>23800</v>
      </c>
      <c r="N30" s="7">
        <v>24300</v>
      </c>
      <c r="O30" s="2">
        <v>25000</v>
      </c>
      <c r="P30" s="2">
        <v>26200</v>
      </c>
    </row>
    <row r="31" spans="1:16" x14ac:dyDescent="0.2">
      <c r="A31" s="1" t="s">
        <v>102</v>
      </c>
      <c r="B31" s="5" t="s">
        <v>25</v>
      </c>
      <c r="C31" s="18" t="s">
        <v>120</v>
      </c>
      <c r="D31" s="9">
        <v>17600</v>
      </c>
      <c r="E31" s="8">
        <v>17800</v>
      </c>
      <c r="F31" s="7">
        <v>18400</v>
      </c>
      <c r="G31" s="7">
        <v>18900</v>
      </c>
      <c r="H31" s="7">
        <v>20200</v>
      </c>
      <c r="I31" s="7">
        <v>21400</v>
      </c>
      <c r="J31" s="7">
        <v>22500</v>
      </c>
      <c r="K31" s="7">
        <f t="shared" si="0"/>
        <v>22850</v>
      </c>
      <c r="L31" s="7">
        <v>23200</v>
      </c>
      <c r="M31" s="7">
        <v>22300</v>
      </c>
      <c r="N31" s="7">
        <v>25300</v>
      </c>
      <c r="O31" s="2">
        <v>25000</v>
      </c>
      <c r="P31" s="2">
        <v>25100</v>
      </c>
    </row>
    <row r="32" spans="1:16" x14ac:dyDescent="0.2">
      <c r="A32" s="1" t="s">
        <v>103</v>
      </c>
      <c r="B32" s="5" t="s">
        <v>26</v>
      </c>
      <c r="C32" s="18" t="s">
        <v>117</v>
      </c>
      <c r="D32" s="6">
        <v>19100</v>
      </c>
      <c r="E32" s="8">
        <v>19300</v>
      </c>
      <c r="F32" s="7">
        <v>18300</v>
      </c>
      <c r="G32" s="7">
        <v>19200</v>
      </c>
      <c r="H32" s="7">
        <v>19800</v>
      </c>
      <c r="I32" s="7">
        <v>19400</v>
      </c>
      <c r="J32" s="7">
        <v>21200</v>
      </c>
      <c r="K32" s="7">
        <f t="shared" si="0"/>
        <v>22850</v>
      </c>
      <c r="L32" s="7">
        <v>24500</v>
      </c>
      <c r="M32" s="7">
        <v>24000</v>
      </c>
      <c r="N32" s="7">
        <v>24700</v>
      </c>
      <c r="O32" s="2">
        <v>25800</v>
      </c>
      <c r="P32" s="2">
        <v>27000</v>
      </c>
    </row>
    <row r="33" spans="1:16" x14ac:dyDescent="0.2">
      <c r="A33" s="1" t="s">
        <v>104</v>
      </c>
      <c r="B33" s="5" t="s">
        <v>27</v>
      </c>
      <c r="C33" s="18" t="s">
        <v>118</v>
      </c>
      <c r="D33" s="9">
        <v>16600</v>
      </c>
      <c r="E33" s="8">
        <v>17200</v>
      </c>
      <c r="F33" s="7">
        <v>16800</v>
      </c>
      <c r="G33" s="7">
        <v>16600</v>
      </c>
      <c r="H33" s="7">
        <v>17700</v>
      </c>
      <c r="I33" s="7">
        <v>17900</v>
      </c>
      <c r="J33" s="7">
        <v>18200</v>
      </c>
      <c r="K33" s="7">
        <f t="shared" si="0"/>
        <v>19400</v>
      </c>
      <c r="L33" s="7">
        <v>20600</v>
      </c>
      <c r="M33" s="7">
        <v>19700</v>
      </c>
      <c r="N33" s="7">
        <v>20300</v>
      </c>
      <c r="O33" s="2">
        <v>21400</v>
      </c>
      <c r="P33" s="2">
        <v>21900</v>
      </c>
    </row>
    <row r="34" spans="1:16" x14ac:dyDescent="0.2">
      <c r="A34" s="1" t="s">
        <v>105</v>
      </c>
      <c r="B34" s="5" t="s">
        <v>28</v>
      </c>
      <c r="C34" s="18" t="s">
        <v>121</v>
      </c>
      <c r="D34" s="6">
        <v>21700</v>
      </c>
      <c r="E34" s="8">
        <v>22000</v>
      </c>
      <c r="F34" s="7">
        <v>22600</v>
      </c>
      <c r="G34" s="7">
        <v>22000</v>
      </c>
      <c r="H34" s="7">
        <v>24500</v>
      </c>
      <c r="I34" s="7">
        <v>25300</v>
      </c>
      <c r="J34" s="7">
        <v>26100</v>
      </c>
      <c r="K34" s="7">
        <f t="shared" si="0"/>
        <v>27650</v>
      </c>
      <c r="L34" s="7">
        <v>29200</v>
      </c>
      <c r="M34" s="7">
        <v>29000</v>
      </c>
      <c r="N34" s="7">
        <v>29400</v>
      </c>
      <c r="O34" s="2">
        <v>31000</v>
      </c>
      <c r="P34" s="2">
        <v>31900</v>
      </c>
    </row>
    <row r="35" spans="1:16" x14ac:dyDescent="0.2">
      <c r="A35" s="1" t="s">
        <v>106</v>
      </c>
      <c r="B35" s="5" t="s">
        <v>29</v>
      </c>
      <c r="C35" s="18" t="s">
        <v>121</v>
      </c>
      <c r="D35" s="9">
        <v>21900</v>
      </c>
      <c r="E35" s="8">
        <v>22800</v>
      </c>
      <c r="F35" s="7">
        <v>23500</v>
      </c>
      <c r="G35" s="7">
        <v>23100</v>
      </c>
      <c r="H35" s="7">
        <v>27100</v>
      </c>
      <c r="I35" s="7">
        <v>27000</v>
      </c>
      <c r="J35" s="7">
        <v>29200</v>
      </c>
      <c r="K35" s="7">
        <f t="shared" si="0"/>
        <v>30550</v>
      </c>
      <c r="L35" s="7">
        <v>31900</v>
      </c>
      <c r="M35" s="7">
        <v>31400</v>
      </c>
      <c r="N35" s="7">
        <v>32400</v>
      </c>
      <c r="O35" s="2">
        <v>35200</v>
      </c>
      <c r="P35" s="2">
        <v>36400</v>
      </c>
    </row>
    <row r="37" spans="1:16" ht="13.5" thickBot="1" x14ac:dyDescent="0.25"/>
    <row r="38" spans="1:16" x14ac:dyDescent="0.2">
      <c r="C38" s="19" t="s">
        <v>121</v>
      </c>
      <c r="D38" s="20">
        <v>20816.666666666668</v>
      </c>
      <c r="E38" s="20">
        <v>21483.333333333332</v>
      </c>
      <c r="F38" s="20">
        <v>21850</v>
      </c>
      <c r="G38" s="20">
        <v>21550</v>
      </c>
      <c r="H38" s="20">
        <v>24316.666666666668</v>
      </c>
      <c r="I38" s="20">
        <v>24866.666666666668</v>
      </c>
      <c r="J38" s="20">
        <v>26733.333333333332</v>
      </c>
      <c r="K38" s="20">
        <v>27866.666666666668</v>
      </c>
      <c r="L38" s="20">
        <v>29000</v>
      </c>
      <c r="M38" s="20">
        <v>28566.666666666668</v>
      </c>
      <c r="N38" s="20">
        <v>30300</v>
      </c>
      <c r="O38" s="20">
        <v>31516.666666666668</v>
      </c>
      <c r="P38" s="21">
        <v>32133.333333333332</v>
      </c>
    </row>
    <row r="39" spans="1:16" x14ac:dyDescent="0.2">
      <c r="C39" s="22" t="s">
        <v>117</v>
      </c>
      <c r="D39" s="2">
        <v>17533.333333333332</v>
      </c>
      <c r="E39" s="2">
        <v>17522.222222222223</v>
      </c>
      <c r="F39" s="2">
        <v>17422.222222222223</v>
      </c>
      <c r="G39" s="2">
        <v>17577.777777777777</v>
      </c>
      <c r="H39" s="2">
        <v>18888.888888888891</v>
      </c>
      <c r="I39" s="2">
        <v>19111.111111111109</v>
      </c>
      <c r="J39" s="2">
        <v>20100</v>
      </c>
      <c r="K39" s="2">
        <v>20816.666666666668</v>
      </c>
      <c r="L39" s="2">
        <v>21533.333333333332</v>
      </c>
      <c r="M39" s="2">
        <v>21655.555555555555</v>
      </c>
      <c r="N39" s="2">
        <v>21977.777777777777</v>
      </c>
      <c r="O39" s="2">
        <v>22744.444444444445</v>
      </c>
      <c r="P39" s="23">
        <v>23977.777777777777</v>
      </c>
    </row>
    <row r="40" spans="1:16" x14ac:dyDescent="0.2">
      <c r="C40" s="22" t="s">
        <v>118</v>
      </c>
      <c r="D40" s="2">
        <v>17975</v>
      </c>
      <c r="E40" s="2">
        <v>18025</v>
      </c>
      <c r="F40" s="2">
        <v>18450</v>
      </c>
      <c r="G40" s="2">
        <v>17950</v>
      </c>
      <c r="H40" s="2">
        <v>19150</v>
      </c>
      <c r="I40" s="2">
        <v>19200</v>
      </c>
      <c r="J40" s="2">
        <v>19975</v>
      </c>
      <c r="K40" s="2">
        <v>21087.5</v>
      </c>
      <c r="L40" s="2">
        <v>22200</v>
      </c>
      <c r="M40" s="2">
        <v>21550</v>
      </c>
      <c r="N40" s="2">
        <v>22250</v>
      </c>
      <c r="O40" s="2">
        <v>23300</v>
      </c>
      <c r="P40" s="23">
        <v>24250</v>
      </c>
    </row>
    <row r="41" spans="1:16" x14ac:dyDescent="0.2">
      <c r="C41" s="22" t="s">
        <v>120</v>
      </c>
      <c r="D41" s="2">
        <v>19228.571428571428</v>
      </c>
      <c r="E41" s="2">
        <v>19957.142857142859</v>
      </c>
      <c r="F41" s="2">
        <v>20600</v>
      </c>
      <c r="G41" s="2">
        <v>20371.428571428572</v>
      </c>
      <c r="H41" s="2">
        <v>21657.142857142859</v>
      </c>
      <c r="I41" s="2">
        <v>22642.857142857141</v>
      </c>
      <c r="J41" s="2">
        <v>23628.571428571428</v>
      </c>
      <c r="K41" s="2">
        <v>24364.285714285714</v>
      </c>
      <c r="L41" s="2">
        <v>25100</v>
      </c>
      <c r="M41" s="2">
        <v>24885.714285714286</v>
      </c>
      <c r="N41" s="2">
        <v>25771.428571428572</v>
      </c>
      <c r="O41" s="2">
        <v>26785.714285714286</v>
      </c>
      <c r="P41" s="23">
        <v>27285.714285714286</v>
      </c>
    </row>
    <row r="42" spans="1:16" ht="13.5" thickBot="1" x14ac:dyDescent="0.25">
      <c r="C42" s="24" t="s">
        <v>119</v>
      </c>
      <c r="D42" s="25">
        <v>18066.666666666668</v>
      </c>
      <c r="E42" s="25">
        <v>18816.666666666668</v>
      </c>
      <c r="F42" s="25">
        <v>18866.666666666668</v>
      </c>
      <c r="G42" s="25">
        <v>19133.333333333332</v>
      </c>
      <c r="H42" s="25">
        <v>19883.333333333332</v>
      </c>
      <c r="I42" s="25">
        <v>20433.333333333332</v>
      </c>
      <c r="J42" s="25">
        <v>21066.666666666668</v>
      </c>
      <c r="K42" s="25">
        <v>21858.333333333332</v>
      </c>
      <c r="L42" s="25">
        <v>22650</v>
      </c>
      <c r="M42" s="25">
        <v>22233.333333333332</v>
      </c>
      <c r="N42" s="25">
        <v>22900</v>
      </c>
      <c r="O42" s="25">
        <v>23416.666666666668</v>
      </c>
      <c r="P42" s="26">
        <v>24516.666666666668</v>
      </c>
    </row>
  </sheetData>
  <autoFilter ref="C2:C35" xr:uid="{00000000-0001-0000-0100-000000000000}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Average Median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Colombeau</dc:creator>
  <cp:lastModifiedBy>roshan kerai</cp:lastModifiedBy>
  <cp:lastPrinted>2004-09-23T12:33:28Z</cp:lastPrinted>
  <dcterms:created xsi:type="dcterms:W3CDTF">1997-08-27T10:26:52Z</dcterms:created>
  <dcterms:modified xsi:type="dcterms:W3CDTF">2025-02-21T22:57:41Z</dcterms:modified>
</cp:coreProperties>
</file>